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ドキュメント\【作業中】\00 池田論文準備\2026 08 16 Frontiers Revise\データ\"/>
    </mc:Choice>
  </mc:AlternateContent>
  <xr:revisionPtr revIDLastSave="0" documentId="13_ncr:1_{F56E469F-2C64-4F32-B709-9669C3567BFA}" xr6:coauthVersionLast="47" xr6:coauthVersionMax="47" xr10:uidLastSave="{00000000-0000-0000-0000-000000000000}"/>
  <bookViews>
    <workbookView xWindow="15525" yWindow="2250" windowWidth="43200" windowHeight="17025" xr2:uid="{00000000-000D-0000-FFFF-FFFF00000000}"/>
  </bookViews>
  <sheets>
    <sheet name="Compa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G25" i="1"/>
  <c r="G24" i="1"/>
  <c r="G23" i="1"/>
  <c r="G22" i="1"/>
  <c r="G21" i="1"/>
  <c r="G19" i="1"/>
  <c r="G20" i="1"/>
  <c r="G18" i="1"/>
  <c r="G17" i="1"/>
  <c r="G16" i="1"/>
  <c r="G15" i="1"/>
  <c r="G14" i="1"/>
  <c r="G12" i="1"/>
  <c r="G11" i="1"/>
  <c r="G10" i="1"/>
  <c r="G9" i="1"/>
  <c r="G8" i="1"/>
  <c r="G7" i="1"/>
  <c r="G6" i="1"/>
</calcChain>
</file>

<file path=xl/sharedStrings.xml><?xml version="1.0" encoding="utf-8"?>
<sst xmlns="http://schemas.openxmlformats.org/spreadsheetml/2006/main" count="140" uniqueCount="91">
  <si>
    <t>ID</t>
  </si>
  <si>
    <t>T1</t>
  </si>
  <si>
    <t>T2</t>
  </si>
  <si>
    <t>T3</t>
  </si>
  <si>
    <t>T4</t>
  </si>
  <si>
    <t>Total</t>
  </si>
  <si>
    <t>E Group</t>
  </si>
  <si>
    <t>E01</t>
  </si>
  <si>
    <t>S01,R01,R02</t>
  </si>
  <si>
    <t>S09,R04</t>
  </si>
  <si>
    <t>R03,P05</t>
  </si>
  <si>
    <t>R01,R04,R07,P02</t>
  </si>
  <si>
    <t>E02</t>
  </si>
  <si>
    <t>R06,R07,R09</t>
  </si>
  <si>
    <t>R05,R09</t>
  </si>
  <si>
    <t>S06,R03</t>
  </si>
  <si>
    <t>S07,R06,R07,R09</t>
  </si>
  <si>
    <t>E03</t>
  </si>
  <si>
    <t>S04,R02,P02</t>
  </si>
  <si>
    <t>R05</t>
  </si>
  <si>
    <t>P01</t>
  </si>
  <si>
    <t>R02,R05,R06</t>
  </si>
  <si>
    <t>E04</t>
  </si>
  <si>
    <t>R06</t>
  </si>
  <si>
    <t>R05,P04</t>
  </si>
  <si>
    <t>R07</t>
  </si>
  <si>
    <t>R01,R02,R06,R07,P03</t>
  </si>
  <si>
    <t>E05</t>
  </si>
  <si>
    <t>S04,R06,R09</t>
  </si>
  <si>
    <t>S10,R02,R06,P03</t>
  </si>
  <si>
    <t>P05</t>
  </si>
  <si>
    <t>R02,P04,P05</t>
  </si>
  <si>
    <t>E06</t>
  </si>
  <si>
    <t>R02,R04,P05</t>
  </si>
  <si>
    <t>R08</t>
  </si>
  <si>
    <t>E07</t>
  </si>
  <si>
    <t>R02</t>
  </si>
  <si>
    <t>S07</t>
  </si>
  <si>
    <t>V Group</t>
  </si>
  <si>
    <t>V01</t>
  </si>
  <si>
    <t>S04,R01,R09,P02,P05</t>
  </si>
  <si>
    <t>S04,S06,R02,R05,P05</t>
  </si>
  <si>
    <t>S04,R02,R09,P05</t>
  </si>
  <si>
    <t>V02</t>
  </si>
  <si>
    <t>S04,S10,R02,R06,P05</t>
  </si>
  <si>
    <t>S04,S10,R02,R05</t>
  </si>
  <si>
    <t>S04,R02,R05</t>
  </si>
  <si>
    <t>V03</t>
  </si>
  <si>
    <t>S09,S10,R01,R04,R06,R10</t>
  </si>
  <si>
    <t>S09,R02,R04,R10,P05</t>
  </si>
  <si>
    <t>S03,R06</t>
  </si>
  <si>
    <t>S07,R02,R10,P05</t>
  </si>
  <si>
    <t>V04</t>
  </si>
  <si>
    <t>S05,S07,S09,R10</t>
  </si>
  <si>
    <t>S05,S09,R08,P01,P03</t>
  </si>
  <si>
    <t>V05</t>
  </si>
  <si>
    <t>S02,S09,S10,R10</t>
  </si>
  <si>
    <t>S02,S09,R10</t>
  </si>
  <si>
    <t>V06</t>
  </si>
  <si>
    <t>S04,S07,S09,R02,R04</t>
  </si>
  <si>
    <t>S04,S09,R02,R04</t>
  </si>
  <si>
    <t>P03</t>
  </si>
  <si>
    <t>S04,R02,R04,R10</t>
  </si>
  <si>
    <t>V07</t>
  </si>
  <si>
    <t>V08</t>
  </si>
  <si>
    <t>V09</t>
  </si>
  <si>
    <t>R02,R05,R09,P02</t>
  </si>
  <si>
    <t>S04,R05,R07</t>
  </si>
  <si>
    <t>S04,S09,R02</t>
  </si>
  <si>
    <t>V10</t>
  </si>
  <si>
    <t>S09,R02,R06,R09</t>
  </si>
  <si>
    <t>S03</t>
  </si>
  <si>
    <t>R02,R06,R09</t>
  </si>
  <si>
    <t>V11</t>
  </si>
  <si>
    <t>S04,S09,R04</t>
  </si>
  <si>
    <t>R06,R09</t>
  </si>
  <si>
    <t>S09,R06,R09</t>
  </si>
  <si>
    <t>V12</t>
  </si>
  <si>
    <t>V13</t>
  </si>
  <si>
    <t>R10,P05</t>
  </si>
  <si>
    <t>S09,R09,R10</t>
  </si>
  <si>
    <t>Auditory Evaluation Scores by Professionals</t>
    <phoneticPr fontId="7"/>
  </si>
  <si>
    <t>Language Expression Codes and Total</t>
    <phoneticPr fontId="7"/>
  </si>
  <si>
    <t>Auditory Evaluation Summary by Four Professional Raters</t>
    <phoneticPr fontId="7"/>
  </si>
  <si>
    <t>Median</t>
    <phoneticPr fontId="7"/>
  </si>
  <si>
    <t>Score: 0–2 / Median of 4 raters / Total: total count of code occurrences (duplicates allowed)</t>
    <phoneticPr fontId="7"/>
  </si>
  <si>
    <t>Categories represented</t>
    <phoneticPr fontId="7"/>
  </si>
  <si>
    <t>P/R/S</t>
  </si>
  <si>
    <t>R/S</t>
  </si>
  <si>
    <t>P/R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</si>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</sst>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name val="Calibri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EDEDED"/>
      </patternFill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0" fontId="1" fillId="0" borderId="1" xfId="1" applyFont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center" vertical="center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26"/>
  <sheetViews>
    <sheetView showGridLines="0" tabSelected="1" topLeftCell="A3" zoomScale="158" zoomScaleNormal="158" workbookViewId="0">
      <selection activeCell="P10" sqref="P10"/>
    </sheetView>
  </sheetViews>
  <sheetFormatPr defaultRowHeight="15.75" x14ac:dyDescent="0.25"/>
  <cols>
    <col min="9" max="9" width="17.375" bestFit="1" customWidth="1"/>
    <col min="10" max="10" width="14.625" bestFit="1" customWidth="1"/>
    <col min="11" max="11" width="6.375" bestFit="1" customWidth="1"/>
    <col min="12" max="12" width="14.75" bestFit="1" customWidth="1"/>
    <col min="14" max="14" width="17" customWidth="1"/>
  </cols>
  <sheetData>
    <row r="1" spans="2:14" ht="18" customHeight="1" x14ac:dyDescent="0.25">
      <c r="B1" s="9" t="s">
        <v>83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6"/>
      <c r="N1" s="4"/>
    </row>
    <row r="2" spans="2:14" ht="18" customHeight="1" x14ac:dyDescent="0.25">
      <c r="B2" s="11" t="s">
        <v>85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5"/>
    </row>
    <row r="3" spans="2:14" ht="15.95" customHeight="1" x14ac:dyDescent="0.25">
      <c r="B3" s="13" t="s">
        <v>81</v>
      </c>
      <c r="C3" s="14"/>
      <c r="D3" s="14"/>
      <c r="E3" s="14"/>
      <c r="F3" s="14"/>
      <c r="G3" s="14"/>
      <c r="H3" s="13" t="s">
        <v>82</v>
      </c>
      <c r="I3" s="14"/>
      <c r="J3" s="14"/>
      <c r="K3" s="14"/>
      <c r="L3" s="14"/>
      <c r="M3" s="14"/>
      <c r="N3" s="15"/>
    </row>
    <row r="4" spans="2:14" ht="18" customHeight="1" x14ac:dyDescent="0.25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84</v>
      </c>
      <c r="H4" s="2" t="s">
        <v>0</v>
      </c>
      <c r="I4" s="2" t="s">
        <v>1</v>
      </c>
      <c r="J4" s="2" t="s">
        <v>2</v>
      </c>
      <c r="K4" s="2" t="s">
        <v>3</v>
      </c>
      <c r="L4" s="2" t="s">
        <v>4</v>
      </c>
      <c r="M4" s="2" t="s">
        <v>5</v>
      </c>
      <c r="N4" s="2" t="s">
        <v>86</v>
      </c>
    </row>
    <row r="5" spans="2:14" ht="18" customHeight="1" x14ac:dyDescent="0.25">
      <c r="B5" s="6" t="s">
        <v>6</v>
      </c>
      <c r="C5" s="7"/>
      <c r="D5" s="7"/>
      <c r="E5" s="7"/>
      <c r="F5" s="7"/>
      <c r="G5" s="7"/>
      <c r="H5" s="6" t="s">
        <v>6</v>
      </c>
      <c r="I5" s="7"/>
      <c r="J5" s="7"/>
      <c r="K5" s="7"/>
      <c r="L5" s="7"/>
      <c r="M5" s="7"/>
      <c r="N5" s="8"/>
    </row>
    <row r="6" spans="2:14" ht="18" customHeight="1" x14ac:dyDescent="0.25">
      <c r="B6" s="1" t="s">
        <v>7</v>
      </c>
      <c r="C6" s="1">
        <v>2</v>
      </c>
      <c r="D6" s="1">
        <v>1</v>
      </c>
      <c r="E6" s="1">
        <v>1</v>
      </c>
      <c r="F6" s="1">
        <v>2</v>
      </c>
      <c r="G6" s="1">
        <f>MEDIAN(C6:F6)</f>
        <v>1.5</v>
      </c>
      <c r="H6" s="3" t="s">
        <v>7</v>
      </c>
      <c r="I6" s="3" t="s">
        <v>8</v>
      </c>
      <c r="J6" s="3" t="s">
        <v>9</v>
      </c>
      <c r="K6" s="3" t="s">
        <v>10</v>
      </c>
      <c r="L6" s="3" t="s">
        <v>11</v>
      </c>
      <c r="M6" s="3">
        <v>11</v>
      </c>
      <c r="N6" s="3" t="s">
        <v>87</v>
      </c>
    </row>
    <row r="7" spans="2:14" ht="18" customHeight="1" x14ac:dyDescent="0.25">
      <c r="B7" s="1" t="s">
        <v>12</v>
      </c>
      <c r="C7" s="1">
        <v>2</v>
      </c>
      <c r="D7" s="1">
        <v>1</v>
      </c>
      <c r="E7" s="1">
        <v>1</v>
      </c>
      <c r="F7" s="1">
        <v>2</v>
      </c>
      <c r="G7" s="1">
        <f>MEDIAN(C7:F7)</f>
        <v>1.5</v>
      </c>
      <c r="H7" s="3" t="s">
        <v>12</v>
      </c>
      <c r="I7" s="3" t="s">
        <v>13</v>
      </c>
      <c r="J7" s="3" t="s">
        <v>14</v>
      </c>
      <c r="K7" s="3" t="s">
        <v>15</v>
      </c>
      <c r="L7" s="3" t="s">
        <v>16</v>
      </c>
      <c r="M7" s="3">
        <v>11</v>
      </c>
      <c r="N7" s="3" t="s">
        <v>88</v>
      </c>
    </row>
    <row r="8" spans="2:14" ht="18" customHeight="1" x14ac:dyDescent="0.25">
      <c r="B8" s="1" t="s">
        <v>17</v>
      </c>
      <c r="C8" s="1">
        <v>2</v>
      </c>
      <c r="D8" s="1">
        <v>0</v>
      </c>
      <c r="E8" s="1">
        <v>0</v>
      </c>
      <c r="F8" s="1">
        <v>1</v>
      </c>
      <c r="G8" s="1">
        <f>MEDIAN(C8:F8)</f>
        <v>0.5</v>
      </c>
      <c r="H8" s="3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>
        <v>8</v>
      </c>
      <c r="N8" s="3" t="s">
        <v>87</v>
      </c>
    </row>
    <row r="9" spans="2:14" ht="18" customHeight="1" x14ac:dyDescent="0.25">
      <c r="B9" s="1" t="s">
        <v>22</v>
      </c>
      <c r="C9" s="1">
        <v>0</v>
      </c>
      <c r="D9" s="1">
        <v>1</v>
      </c>
      <c r="E9" s="1">
        <v>0</v>
      </c>
      <c r="F9" s="1">
        <v>2</v>
      </c>
      <c r="G9" s="1">
        <f>MEDIAN(C9:F9)</f>
        <v>0.5</v>
      </c>
      <c r="H9" s="3" t="s">
        <v>22</v>
      </c>
      <c r="I9" s="3" t="s">
        <v>23</v>
      </c>
      <c r="J9" s="3" t="s">
        <v>24</v>
      </c>
      <c r="K9" s="3" t="s">
        <v>25</v>
      </c>
      <c r="L9" s="3" t="s">
        <v>26</v>
      </c>
      <c r="M9" s="3">
        <v>9</v>
      </c>
      <c r="N9" s="3" t="s">
        <v>89</v>
      </c>
    </row>
    <row r="10" spans="2:14" ht="18" customHeight="1" x14ac:dyDescent="0.25">
      <c r="B10" s="1" t="s">
        <v>27</v>
      </c>
      <c r="C10" s="1">
        <v>2</v>
      </c>
      <c r="D10" s="1">
        <v>2</v>
      </c>
      <c r="E10" s="1">
        <v>0</v>
      </c>
      <c r="F10" s="1">
        <v>1</v>
      </c>
      <c r="G10" s="1">
        <f>MEDIAN(C10:F10)</f>
        <v>1.5</v>
      </c>
      <c r="H10" s="3" t="s">
        <v>27</v>
      </c>
      <c r="I10" s="3" t="s">
        <v>28</v>
      </c>
      <c r="J10" s="3" t="s">
        <v>29</v>
      </c>
      <c r="K10" s="3" t="s">
        <v>30</v>
      </c>
      <c r="L10" s="3" t="s">
        <v>31</v>
      </c>
      <c r="M10" s="3">
        <v>11</v>
      </c>
      <c r="N10" s="3" t="s">
        <v>87</v>
      </c>
    </row>
    <row r="11" spans="2:14" ht="18" customHeight="1" x14ac:dyDescent="0.25">
      <c r="B11" s="1" t="s">
        <v>32</v>
      </c>
      <c r="C11" s="1">
        <v>2</v>
      </c>
      <c r="D11" s="1">
        <v>0</v>
      </c>
      <c r="E11" s="1">
        <v>0</v>
      </c>
      <c r="F11" s="1">
        <v>0</v>
      </c>
      <c r="G11" s="1">
        <f>MEDIAN(C11:F11)</f>
        <v>0</v>
      </c>
      <c r="H11" s="3" t="s">
        <v>32</v>
      </c>
      <c r="I11" s="3" t="s">
        <v>33</v>
      </c>
      <c r="J11" s="3" t="s">
        <v>34</v>
      </c>
      <c r="K11" s="3"/>
      <c r="L11" s="3" t="s">
        <v>25</v>
      </c>
      <c r="M11" s="3">
        <v>5</v>
      </c>
      <c r="N11" s="3" t="s">
        <v>89</v>
      </c>
    </row>
    <row r="12" spans="2:14" ht="18" customHeight="1" x14ac:dyDescent="0.25">
      <c r="B12" s="1" t="s">
        <v>35</v>
      </c>
      <c r="C12" s="1">
        <v>0</v>
      </c>
      <c r="D12" s="1">
        <v>0</v>
      </c>
      <c r="E12" s="1">
        <v>0</v>
      </c>
      <c r="F12" s="1">
        <v>0</v>
      </c>
      <c r="G12" s="1">
        <f>MEDIAN(C12:F12)</f>
        <v>0</v>
      </c>
      <c r="H12" s="3" t="s">
        <v>35</v>
      </c>
      <c r="I12" s="3" t="s">
        <v>36</v>
      </c>
      <c r="J12" s="3" t="s">
        <v>37</v>
      </c>
      <c r="K12" s="3" t="s">
        <v>37</v>
      </c>
      <c r="L12" s="3" t="s">
        <v>37</v>
      </c>
      <c r="M12" s="3">
        <v>4</v>
      </c>
      <c r="N12" s="3" t="s">
        <v>88</v>
      </c>
    </row>
    <row r="13" spans="2:14" ht="18" customHeight="1" x14ac:dyDescent="0.25">
      <c r="B13" s="6" t="s">
        <v>38</v>
      </c>
      <c r="C13" s="7"/>
      <c r="D13" s="7"/>
      <c r="E13" s="7"/>
      <c r="F13" s="7"/>
      <c r="G13" s="7"/>
      <c r="H13" s="6" t="s">
        <v>38</v>
      </c>
      <c r="I13" s="7"/>
      <c r="J13" s="7"/>
      <c r="K13" s="7"/>
      <c r="L13" s="7"/>
      <c r="M13" s="7"/>
      <c r="N13" s="8"/>
    </row>
    <row r="14" spans="2:14" ht="18" customHeight="1" x14ac:dyDescent="0.25">
      <c r="B14" s="1" t="s">
        <v>39</v>
      </c>
      <c r="C14" s="1">
        <v>2</v>
      </c>
      <c r="D14" s="1">
        <v>2</v>
      </c>
      <c r="E14" s="1">
        <v>0</v>
      </c>
      <c r="F14" s="1">
        <v>2</v>
      </c>
      <c r="G14" s="1">
        <f>MEDIAN(C14:F14)</f>
        <v>2</v>
      </c>
      <c r="H14" s="3" t="s">
        <v>39</v>
      </c>
      <c r="I14" s="3" t="s">
        <v>40</v>
      </c>
      <c r="J14" s="3" t="s">
        <v>41</v>
      </c>
      <c r="K14" s="3"/>
      <c r="L14" s="3" t="s">
        <v>42</v>
      </c>
      <c r="M14" s="3">
        <v>14</v>
      </c>
      <c r="N14" s="3" t="s">
        <v>87</v>
      </c>
    </row>
    <row r="15" spans="2:14" ht="18" customHeight="1" x14ac:dyDescent="0.25">
      <c r="B15" s="1" t="s">
        <v>43</v>
      </c>
      <c r="C15" s="1">
        <v>2</v>
      </c>
      <c r="D15" s="1">
        <v>2</v>
      </c>
      <c r="E15" s="1">
        <v>0</v>
      </c>
      <c r="F15" s="1">
        <v>1</v>
      </c>
      <c r="G15" s="1">
        <f>MEDIAN(C15:F15)</f>
        <v>1.5</v>
      </c>
      <c r="H15" s="3" t="s">
        <v>43</v>
      </c>
      <c r="I15" s="3" t="s">
        <v>44</v>
      </c>
      <c r="J15" s="3" t="s">
        <v>45</v>
      </c>
      <c r="K15" s="3"/>
      <c r="L15" s="3" t="s">
        <v>46</v>
      </c>
      <c r="M15" s="3">
        <v>12</v>
      </c>
      <c r="N15" s="3" t="s">
        <v>87</v>
      </c>
    </row>
    <row r="16" spans="2:14" ht="18" customHeight="1" x14ac:dyDescent="0.25">
      <c r="B16" s="1" t="s">
        <v>47</v>
      </c>
      <c r="C16" s="1">
        <v>2</v>
      </c>
      <c r="D16" s="1">
        <v>2</v>
      </c>
      <c r="E16" s="1">
        <v>1</v>
      </c>
      <c r="F16" s="1">
        <v>2</v>
      </c>
      <c r="G16" s="1">
        <f>MEDIAN(C16:F16)</f>
        <v>2</v>
      </c>
      <c r="H16" s="3" t="s">
        <v>47</v>
      </c>
      <c r="I16" s="3" t="s">
        <v>48</v>
      </c>
      <c r="J16" s="3" t="s">
        <v>49</v>
      </c>
      <c r="K16" s="3" t="s">
        <v>50</v>
      </c>
      <c r="L16" s="3" t="s">
        <v>51</v>
      </c>
      <c r="M16" s="3">
        <v>17</v>
      </c>
      <c r="N16" s="3" t="s">
        <v>87</v>
      </c>
    </row>
    <row r="17" spans="2:14" x14ac:dyDescent="0.25">
      <c r="B17" s="1" t="s">
        <v>52</v>
      </c>
      <c r="C17" s="1">
        <v>1</v>
      </c>
      <c r="D17" s="1">
        <v>1</v>
      </c>
      <c r="E17" s="1">
        <v>0</v>
      </c>
      <c r="F17" s="1">
        <v>0</v>
      </c>
      <c r="G17" s="1">
        <f>MEDIAN(C17:F17)</f>
        <v>0.5</v>
      </c>
      <c r="H17" s="3" t="s">
        <v>52</v>
      </c>
      <c r="I17" s="3" t="s">
        <v>53</v>
      </c>
      <c r="J17" s="3" t="s">
        <v>54</v>
      </c>
      <c r="K17" s="3"/>
      <c r="L17" s="3"/>
      <c r="M17" s="3">
        <v>9</v>
      </c>
      <c r="N17" s="3" t="s">
        <v>87</v>
      </c>
    </row>
    <row r="18" spans="2:14" x14ac:dyDescent="0.25">
      <c r="B18" s="1" t="s">
        <v>55</v>
      </c>
      <c r="C18" s="1">
        <v>1</v>
      </c>
      <c r="D18" s="1">
        <v>1</v>
      </c>
      <c r="E18" s="1">
        <v>0</v>
      </c>
      <c r="F18" s="1">
        <v>0</v>
      </c>
      <c r="G18" s="1">
        <f>MEDIAN(C18:F18)</f>
        <v>0.5</v>
      </c>
      <c r="H18" s="3" t="s">
        <v>55</v>
      </c>
      <c r="I18" s="3" t="s">
        <v>56</v>
      </c>
      <c r="J18" s="3" t="s">
        <v>57</v>
      </c>
      <c r="K18" s="3"/>
      <c r="L18" s="3"/>
      <c r="M18" s="3">
        <v>7</v>
      </c>
      <c r="N18" s="3" t="s">
        <v>88</v>
      </c>
    </row>
    <row r="19" spans="2:14" x14ac:dyDescent="0.25">
      <c r="B19" s="1" t="s">
        <v>58</v>
      </c>
      <c r="C19" s="1">
        <v>2</v>
      </c>
      <c r="D19" s="1">
        <v>2</v>
      </c>
      <c r="E19" s="1">
        <v>1</v>
      </c>
      <c r="F19" s="1">
        <v>2</v>
      </c>
      <c r="G19" s="1">
        <f>MEDIAN(C19:F19)</f>
        <v>2</v>
      </c>
      <c r="H19" s="3" t="s">
        <v>58</v>
      </c>
      <c r="I19" s="3" t="s">
        <v>59</v>
      </c>
      <c r="J19" s="3" t="s">
        <v>60</v>
      </c>
      <c r="K19" s="3" t="s">
        <v>61</v>
      </c>
      <c r="L19" s="3" t="s">
        <v>62</v>
      </c>
      <c r="M19" s="3">
        <v>14</v>
      </c>
      <c r="N19" s="3" t="s">
        <v>87</v>
      </c>
    </row>
    <row r="20" spans="2:14" x14ac:dyDescent="0.25">
      <c r="B20" s="1" t="s">
        <v>63</v>
      </c>
      <c r="C20" s="1">
        <v>0</v>
      </c>
      <c r="D20" s="1">
        <v>0</v>
      </c>
      <c r="E20" s="1">
        <v>0</v>
      </c>
      <c r="F20" s="1">
        <v>0</v>
      </c>
      <c r="G20" s="1">
        <f>MEDIAN(C20:F20)</f>
        <v>0</v>
      </c>
      <c r="H20" s="3" t="s">
        <v>63</v>
      </c>
      <c r="I20" s="3"/>
      <c r="J20" s="3"/>
      <c r="K20" s="3"/>
      <c r="L20" s="3"/>
      <c r="M20" s="3">
        <v>0</v>
      </c>
      <c r="N20" s="3" t="s">
        <v>90</v>
      </c>
    </row>
    <row r="21" spans="2:14" x14ac:dyDescent="0.25">
      <c r="B21" s="1" t="s">
        <v>64</v>
      </c>
      <c r="C21" s="1">
        <v>0</v>
      </c>
      <c r="D21" s="1">
        <v>0</v>
      </c>
      <c r="E21" s="1">
        <v>0</v>
      </c>
      <c r="F21" s="1">
        <v>0</v>
      </c>
      <c r="G21" s="1">
        <f>MEDIAN(C21:F21)</f>
        <v>0</v>
      </c>
      <c r="H21" s="3" t="s">
        <v>64</v>
      </c>
      <c r="I21" s="3"/>
      <c r="J21" s="3"/>
      <c r="K21" s="3"/>
      <c r="L21" s="3"/>
      <c r="M21" s="3">
        <v>0</v>
      </c>
      <c r="N21" s="3" t="s">
        <v>90</v>
      </c>
    </row>
    <row r="22" spans="2:14" x14ac:dyDescent="0.25">
      <c r="B22" s="1" t="s">
        <v>65</v>
      </c>
      <c r="C22" s="1">
        <v>2</v>
      </c>
      <c r="D22" s="1">
        <v>1</v>
      </c>
      <c r="E22" s="1">
        <v>0</v>
      </c>
      <c r="F22" s="1">
        <v>1</v>
      </c>
      <c r="G22" s="1">
        <f>MEDIAN(C22:F22)</f>
        <v>1</v>
      </c>
      <c r="H22" s="3" t="s">
        <v>65</v>
      </c>
      <c r="I22" s="3" t="s">
        <v>66</v>
      </c>
      <c r="J22" s="3" t="s">
        <v>67</v>
      </c>
      <c r="K22" s="3"/>
      <c r="L22" s="3" t="s">
        <v>68</v>
      </c>
      <c r="M22" s="3">
        <v>10</v>
      </c>
      <c r="N22" s="3" t="s">
        <v>87</v>
      </c>
    </row>
    <row r="23" spans="2:14" x14ac:dyDescent="0.25">
      <c r="B23" s="1" t="s">
        <v>69</v>
      </c>
      <c r="C23" s="1">
        <v>2</v>
      </c>
      <c r="D23" s="1">
        <v>2</v>
      </c>
      <c r="E23" s="1">
        <v>1</v>
      </c>
      <c r="F23" s="1">
        <v>1</v>
      </c>
      <c r="G23" s="1">
        <f>MEDIAN(C23:F23)</f>
        <v>1.5</v>
      </c>
      <c r="H23" s="3" t="s">
        <v>69</v>
      </c>
      <c r="I23" s="3" t="s">
        <v>70</v>
      </c>
      <c r="J23" s="3" t="s">
        <v>70</v>
      </c>
      <c r="K23" s="3" t="s">
        <v>71</v>
      </c>
      <c r="L23" s="3" t="s">
        <v>72</v>
      </c>
      <c r="M23" s="3">
        <v>12</v>
      </c>
      <c r="N23" s="3" t="s">
        <v>88</v>
      </c>
    </row>
    <row r="24" spans="2:14" x14ac:dyDescent="0.25">
      <c r="B24" s="1" t="s">
        <v>73</v>
      </c>
      <c r="C24" s="1">
        <v>1</v>
      </c>
      <c r="D24" s="1">
        <v>1</v>
      </c>
      <c r="E24" s="1">
        <v>0</v>
      </c>
      <c r="F24" s="1">
        <v>1</v>
      </c>
      <c r="G24" s="1">
        <f>MEDIAN(C24:F24)</f>
        <v>1</v>
      </c>
      <c r="H24" s="3" t="s">
        <v>73</v>
      </c>
      <c r="I24" s="3" t="s">
        <v>74</v>
      </c>
      <c r="J24" s="3" t="s">
        <v>75</v>
      </c>
      <c r="K24" s="3"/>
      <c r="L24" s="3" t="s">
        <v>76</v>
      </c>
      <c r="M24" s="3">
        <v>8</v>
      </c>
      <c r="N24" s="3" t="s">
        <v>88</v>
      </c>
    </row>
    <row r="25" spans="2:14" x14ac:dyDescent="0.25">
      <c r="B25" s="1" t="s">
        <v>77</v>
      </c>
      <c r="C25" s="1">
        <v>0</v>
      </c>
      <c r="D25" s="1">
        <v>0</v>
      </c>
      <c r="E25" s="1">
        <v>0</v>
      </c>
      <c r="F25" s="1">
        <v>0</v>
      </c>
      <c r="G25" s="1">
        <f>MEDIAN(C25:F25)</f>
        <v>0</v>
      </c>
      <c r="H25" s="3" t="s">
        <v>77</v>
      </c>
      <c r="I25" s="3"/>
      <c r="J25" s="3"/>
      <c r="K25" s="3"/>
      <c r="L25" s="3"/>
      <c r="M25" s="3">
        <v>0</v>
      </c>
      <c r="N25" s="3" t="s">
        <v>90</v>
      </c>
    </row>
    <row r="26" spans="2:14" x14ac:dyDescent="0.25">
      <c r="B26" s="1" t="s">
        <v>78</v>
      </c>
      <c r="C26" s="1">
        <v>1</v>
      </c>
      <c r="D26" s="1">
        <v>1</v>
      </c>
      <c r="E26" s="1">
        <v>1</v>
      </c>
      <c r="F26" s="1">
        <v>1</v>
      </c>
      <c r="G26" s="1">
        <f>MEDIAN(C26:F26)</f>
        <v>1</v>
      </c>
      <c r="H26" s="3" t="s">
        <v>78</v>
      </c>
      <c r="I26" s="3" t="s">
        <v>72</v>
      </c>
      <c r="J26" s="3" t="s">
        <v>79</v>
      </c>
      <c r="K26" s="3" t="s">
        <v>23</v>
      </c>
      <c r="L26" s="3" t="s">
        <v>80</v>
      </c>
      <c r="M26" s="3">
        <v>9</v>
      </c>
      <c r="N26" s="3" t="s">
        <v>87</v>
      </c>
    </row>
  </sheetData>
  <mergeCells count="8">
    <mergeCell ref="B13:G13"/>
    <mergeCell ref="B5:G5"/>
    <mergeCell ref="B1:M1"/>
    <mergeCell ref="B2:M2"/>
    <mergeCell ref="B3:G3"/>
    <mergeCell ref="H3:N3"/>
    <mergeCell ref="H5:N5"/>
    <mergeCell ref="H13:N13"/>
  </mergeCells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Compact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Satoru Miyano</cp:lastModifiedBy>
  <dcterms:modified xsi:type="dcterms:W3CDTF">2026-08-15T20:56:57Z</dcterms:modified>
</cp:coreProperties>
</file>